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&quot;$&quot;#,##0.0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AABCD0"/>
      <sz val="9"/>
    </font>
    <font>
      <name val="Arial"/>
      <b val="1"/>
      <color rgb="00FFFFFF"/>
      <sz val="10"/>
    </font>
    <font>
      <name val="Arial"/>
      <color rgb="001A1E2E"/>
      <sz val="10"/>
    </font>
    <font>
      <name val="Arial"/>
      <color rgb="004A5568"/>
      <sz val="10"/>
    </font>
    <font>
      <name val="Arial"/>
      <b val="1"/>
      <color rgb="000B2545"/>
      <sz val="10"/>
    </font>
    <font>
      <name val="Arial"/>
      <b val="1"/>
      <color rgb="00FFFFFF"/>
      <sz val="11"/>
    </font>
    <font>
      <name val="Arial"/>
      <i val="1"/>
      <color rgb="004A5568"/>
      <sz val="10"/>
    </font>
    <font>
      <name val="Arial"/>
      <i val="1"/>
      <color rgb="009AA3B2"/>
      <sz val="8"/>
    </font>
  </fonts>
  <fills count="8">
    <fill>
      <patternFill/>
    </fill>
    <fill>
      <patternFill patternType="gray125"/>
    </fill>
    <fill>
      <patternFill patternType="solid">
        <fgColor rgb="000B2545"/>
      </patternFill>
    </fill>
    <fill>
      <patternFill patternType="solid">
        <fgColor rgb="001B3A6B"/>
      </patternFill>
    </fill>
    <fill>
      <patternFill patternType="solid">
        <fgColor rgb="000D7377"/>
      </patternFill>
    </fill>
    <fill>
      <patternFill patternType="solid">
        <fgColor rgb="00F5F6F8"/>
      </patternFill>
    </fill>
    <fill>
      <patternFill patternType="solid">
        <fgColor rgb="00FFFFFF"/>
      </patternFill>
    </fill>
    <fill>
      <patternFill patternType="solid">
        <fgColor rgb="00E8F7F7"/>
      </patternFill>
    </fill>
  </fills>
  <borders count="2">
    <border>
      <left/>
      <right/>
      <top/>
      <bottom/>
      <diagonal/>
    </border>
    <border>
      <left style="thin">
        <color rgb="00DDE1E7"/>
      </left>
      <right style="thin">
        <color rgb="00DDE1E7"/>
      </right>
      <top style="thin">
        <color rgb="00DDE1E7"/>
      </top>
      <bottom style="thin">
        <color rgb="00DDE1E7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right" vertical="center"/>
    </xf>
    <xf numFmtId="165" fontId="4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right" vertical="center"/>
    </xf>
    <xf numFmtId="165" fontId="4" fillId="6" borderId="1" applyAlignment="1" pivotButton="0" quotePrefix="0" xfId="0">
      <alignment horizontal="right" vertical="center"/>
    </xf>
    <xf numFmtId="49" fontId="5" fillId="5" borderId="1" applyAlignment="1" pivotButton="0" quotePrefix="0" xfId="0">
      <alignment horizontal="center" vertical="center"/>
    </xf>
    <xf numFmtId="49" fontId="5" fillId="6" borderId="1" applyAlignment="1" pivotButton="0" quotePrefix="0" xfId="0">
      <alignment horizontal="center" vertical="center"/>
    </xf>
    <xf numFmtId="0" fontId="6" fillId="7" borderId="1" pivotButton="0" quotePrefix="0" xfId="0"/>
    <xf numFmtId="0" fontId="6" fillId="7" borderId="1" applyAlignment="1" pivotButton="0" quotePrefix="0" xfId="0">
      <alignment horizontal="right" vertical="center"/>
    </xf>
    <xf numFmtId="165" fontId="6" fillId="7" borderId="1" applyAlignment="1" pivotButton="0" quotePrefix="0" xfId="0">
      <alignment horizontal="right"/>
    </xf>
    <xf numFmtId="0" fontId="7" fillId="2" borderId="1" pivotButton="0" quotePrefix="0" xfId="0"/>
    <xf numFmtId="0" fontId="7" fillId="2" borderId="1" applyAlignment="1" pivotButton="0" quotePrefix="0" xfId="0">
      <alignment horizontal="right" vertical="center"/>
    </xf>
    <xf numFmtId="165" fontId="7" fillId="2" borderId="1" applyAlignment="1" pivotButton="0" quotePrefix="0" xfId="0">
      <alignment horizontal="right" vertical="center"/>
    </xf>
    <xf numFmtId="0" fontId="8" fillId="5" borderId="1" pivotButton="0" quotePrefix="0" xfId="0"/>
    <xf numFmtId="0" fontId="8" fillId="5" borderId="1" applyAlignment="1" pivotButton="0" quotePrefix="0" xfId="0">
      <alignment horizontal="right" vertical="center"/>
    </xf>
    <xf numFmtId="165" fontId="8" fillId="5" borderId="1" applyAlignment="1" pivotButton="0" quotePrefix="0" xfId="0">
      <alignment horizontal="right"/>
    </xf>
    <xf numFmtId="0" fontId="9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36" customWidth="1" min="3" max="3"/>
    <col width="18" customWidth="1" min="4" max="4"/>
    <col width="14" customWidth="1" min="5" max="5"/>
    <col width="18" customWidth="1" min="6" max="6"/>
    <col width="20" customWidth="1" min="7" max="7"/>
  </cols>
  <sheetData>
    <row r="1" ht="28" customHeight="1">
      <c r="A1" s="1" t="inlineStr">
        <is>
          <t>Client Portfolio Holdings Summary  —  As at [DATE]</t>
        </is>
      </c>
    </row>
    <row r="2" ht="16" customHeight="1">
      <c r="A2" s="2" t="inlineStr">
        <is>
          <t>Daniel &amp; Olivia Harper  |  [Institutions]</t>
        </is>
      </c>
    </row>
    <row r="3" ht="8" customHeight="1"/>
    <row r="4" ht="36" customHeight="1">
      <c r="A4" s="3" t="inlineStr">
        <is>
          <t>Account Holder</t>
        </is>
      </c>
      <c r="B4" s="3" t="inlineStr">
        <is>
          <t>Account</t>
        </is>
      </c>
      <c r="C4" s="3" t="inlineStr">
        <is>
          <t>Security</t>
        </is>
      </c>
      <c r="D4" s="3" t="inlineStr">
        <is>
          <t>Asset Class</t>
        </is>
      </c>
      <c r="E4" s="3" t="inlineStr">
        <is>
          <t>Units / Qty</t>
        </is>
      </c>
      <c r="F4" s="3" t="inlineStr">
        <is>
          <t>Book Value (CAD)</t>
        </is>
      </c>
      <c r="G4" s="3" t="inlineStr">
        <is>
          <t>Market Value (CAD)</t>
        </is>
      </c>
    </row>
    <row r="5" ht="18" customHeight="1">
      <c r="A5" s="4" t="inlineStr">
        <is>
          <t>Daniel Harper</t>
        </is>
      </c>
      <c r="B5" s="4" t="inlineStr">
        <is>
          <t>RRSP (Pinnacle Wealth Mgmt)</t>
        </is>
      </c>
      <c r="C5" s="4" t="inlineStr">
        <is>
          <t>Pinnacle Balanced Growth Fund</t>
        </is>
      </c>
      <c r="D5" s="5" t="inlineStr">
        <is>
          <t>Balanced</t>
        </is>
      </c>
      <c r="E5" s="6" t="n">
        <v>1842.5</v>
      </c>
      <c r="F5" s="7" t="n">
        <v>25000</v>
      </c>
      <c r="G5" s="7" t="n">
        <v>29340.75</v>
      </c>
    </row>
    <row r="6" ht="18" customHeight="1">
      <c r="A6" s="8" t="inlineStr">
        <is>
          <t>Daniel Harper</t>
        </is>
      </c>
      <c r="B6" s="8" t="inlineStr">
        <is>
          <t>RRSP (Pinnacle Wealth Mgmt)</t>
        </is>
      </c>
      <c r="C6" s="8" t="inlineStr">
        <is>
          <t>Canadian Equity Index Fund</t>
        </is>
      </c>
      <c r="D6" s="9" t="inlineStr">
        <is>
          <t>Growth</t>
        </is>
      </c>
      <c r="E6" s="10" t="n">
        <v>956.25</v>
      </c>
      <c r="F6" s="11" t="n">
        <v>10000</v>
      </c>
      <c r="G6" s="11" t="n">
        <v>13287.5</v>
      </c>
    </row>
    <row r="7" ht="18" customHeight="1">
      <c r="A7" s="4" t="inlineStr">
        <is>
          <t>Daniel Harper</t>
        </is>
      </c>
      <c r="B7" s="4" t="inlineStr">
        <is>
          <t>RRSP (Pinnacle Wealth Mgmt)</t>
        </is>
      </c>
      <c r="C7" s="4" t="inlineStr">
        <is>
          <t>Cash (CAD)</t>
        </is>
      </c>
      <c r="D7" s="5" t="inlineStr">
        <is>
          <t>Cash</t>
        </is>
      </c>
      <c r="E7" s="12" t="inlineStr">
        <is>
          <t>—</t>
        </is>
      </c>
      <c r="F7" s="12" t="inlineStr">
        <is>
          <t>—</t>
        </is>
      </c>
      <c r="G7" s="7" t="n">
        <v>1205.44</v>
      </c>
    </row>
    <row r="8" ht="18" customHeight="1">
      <c r="A8" s="8" t="inlineStr">
        <is>
          <t>Olivia Harper</t>
        </is>
      </c>
      <c r="B8" s="8" t="inlineStr">
        <is>
          <t>TFSA (Pinnacle Wealth Mgmt)</t>
        </is>
      </c>
      <c r="C8" s="8" t="inlineStr">
        <is>
          <t>Global Dividend Income Fund</t>
        </is>
      </c>
      <c r="D8" s="9" t="inlineStr">
        <is>
          <t>Yield</t>
        </is>
      </c>
      <c r="E8" s="10" t="n">
        <v>632</v>
      </c>
      <c r="F8" s="11" t="n">
        <v>8500</v>
      </c>
      <c r="G8" s="11" t="n">
        <v>9614.200000000001</v>
      </c>
    </row>
    <row r="9" ht="18" customHeight="1">
      <c r="A9" s="4" t="inlineStr">
        <is>
          <t>Olivia Harper</t>
        </is>
      </c>
      <c r="B9" s="4" t="inlineStr">
        <is>
          <t>TFSA (Pinnacle Wealth Mgmt)</t>
        </is>
      </c>
      <c r="C9" s="4" t="inlineStr">
        <is>
          <t>Short-Term Bond Fund</t>
        </is>
      </c>
      <c r="D9" s="5" t="inlineStr">
        <is>
          <t>Fixed Income</t>
        </is>
      </c>
      <c r="E9" s="6" t="n">
        <v>1100</v>
      </c>
      <c r="F9" s="7" t="n">
        <v>11000</v>
      </c>
      <c r="G9" s="7" t="n">
        <v>10780</v>
      </c>
    </row>
    <row r="10" ht="18" customHeight="1">
      <c r="A10" s="8" t="inlineStr">
        <is>
          <t>Daniel Harper</t>
        </is>
      </c>
      <c r="B10" s="8" t="inlineStr">
        <is>
          <t>Non-Registered (Meridian Trust)</t>
        </is>
      </c>
      <c r="C10" s="8" t="inlineStr">
        <is>
          <t>Meridian Real Estate Investment Trust</t>
        </is>
      </c>
      <c r="D10" s="9" t="inlineStr">
        <is>
          <t>Exempt Market</t>
        </is>
      </c>
      <c r="E10" s="10" t="n">
        <v>5000</v>
      </c>
      <c r="F10" s="11" t="n">
        <v>50000</v>
      </c>
      <c r="G10" s="11" t="n">
        <v>41250</v>
      </c>
    </row>
    <row r="11" ht="18" customHeight="1">
      <c r="A11" s="4" t="inlineStr">
        <is>
          <t>Daniel Harper</t>
        </is>
      </c>
      <c r="B11" s="4" t="inlineStr">
        <is>
          <t>Non-Registered (Meridian Trust)</t>
        </is>
      </c>
      <c r="C11" s="4" t="inlineStr">
        <is>
          <t>Westbrook Private Credit Fund Series A</t>
        </is>
      </c>
      <c r="D11" s="5" t="inlineStr">
        <is>
          <t>Exempt Market</t>
        </is>
      </c>
      <c r="E11" s="6" t="n">
        <v>25</v>
      </c>
      <c r="F11" s="7" t="n">
        <v>25000</v>
      </c>
      <c r="G11" s="7" t="n">
        <v>26875</v>
      </c>
    </row>
    <row r="12" ht="18" customHeight="1">
      <c r="A12" s="8" t="inlineStr">
        <is>
          <t>Olivia Harper</t>
        </is>
      </c>
      <c r="B12" s="8" t="inlineStr">
        <is>
          <t>RRSP (Meridian Trust)</t>
        </is>
      </c>
      <c r="C12" s="8" t="inlineStr">
        <is>
          <t>Meridian Income &amp; Growth Trust</t>
        </is>
      </c>
      <c r="D12" s="9" t="inlineStr">
        <is>
          <t>Exempt Market</t>
        </is>
      </c>
      <c r="E12" s="10" t="n">
        <v>3000</v>
      </c>
      <c r="F12" s="11" t="n">
        <v>30000</v>
      </c>
      <c r="G12" s="11" t="n">
        <v>24600</v>
      </c>
    </row>
    <row r="13" ht="18" customHeight="1">
      <c r="A13" s="4" t="inlineStr">
        <is>
          <t>Olivia Harper</t>
        </is>
      </c>
      <c r="B13" s="4" t="inlineStr">
        <is>
          <t>RRSP (Meridian Trust)</t>
        </is>
      </c>
      <c r="C13" s="4" t="inlineStr">
        <is>
          <t>Northland Agricultural Land Fund Series B</t>
        </is>
      </c>
      <c r="D13" s="5" t="inlineStr">
        <is>
          <t>Exempt Market</t>
        </is>
      </c>
      <c r="E13" s="6" t="n">
        <v>20</v>
      </c>
      <c r="F13" s="7" t="n">
        <v>20000</v>
      </c>
      <c r="G13" s="7" t="n">
        <v>22400</v>
      </c>
    </row>
    <row r="14" ht="18" customHeight="1">
      <c r="A14" s="8" t="inlineStr">
        <is>
          <t>Olivia Harper</t>
        </is>
      </c>
      <c r="B14" s="8" t="inlineStr">
        <is>
          <t>RRSP (Meridian Trust)</t>
        </is>
      </c>
      <c r="C14" s="8" t="inlineStr">
        <is>
          <t>Cash (CAD)</t>
        </is>
      </c>
      <c r="D14" s="9" t="inlineStr">
        <is>
          <t>Cash</t>
        </is>
      </c>
      <c r="E14" s="13" t="inlineStr">
        <is>
          <t>—</t>
        </is>
      </c>
      <c r="F14" s="13" t="inlineStr">
        <is>
          <t>—</t>
        </is>
      </c>
      <c r="G14" s="11" t="n">
        <v>2318.9</v>
      </c>
    </row>
    <row r="15" ht="18" customHeight="1">
      <c r="A15" s="4" t="inlineStr">
        <is>
          <t>Daniel &amp; Olivia Harper</t>
        </is>
      </c>
      <c r="B15" s="4" t="inlineStr">
        <is>
          <t>Joint Non-Reg (Crestview Capital)</t>
        </is>
      </c>
      <c r="C15" s="4" t="inlineStr">
        <is>
          <t>Crestview Tactical Balanced Portfolio</t>
        </is>
      </c>
      <c r="D15" s="5" t="inlineStr">
        <is>
          <t>Balanced</t>
        </is>
      </c>
      <c r="E15" s="6" t="n">
        <v>4250</v>
      </c>
      <c r="F15" s="7" t="n">
        <v>48750</v>
      </c>
      <c r="G15" s="7" t="n">
        <v>63580</v>
      </c>
    </row>
    <row r="16" ht="18" customHeight="1">
      <c r="A16" s="8" t="inlineStr">
        <is>
          <t>Daniel &amp; Olivia Harper</t>
        </is>
      </c>
      <c r="B16" s="8" t="inlineStr">
        <is>
          <t>Joint Non-Reg (Crestview Capital)</t>
        </is>
      </c>
      <c r="C16" s="8" t="inlineStr">
        <is>
          <t>Global Growth Opportunities Fund – Class L</t>
        </is>
      </c>
      <c r="D16" s="9" t="inlineStr">
        <is>
          <t>Growth</t>
        </is>
      </c>
      <c r="E16" s="10" t="n">
        <v>310.75</v>
      </c>
      <c r="F16" s="11" t="n">
        <v>35000</v>
      </c>
      <c r="G16" s="11" t="n">
        <v>42218.75</v>
      </c>
    </row>
    <row r="17" ht="18" customHeight="1">
      <c r="A17" s="4" t="inlineStr">
        <is>
          <t>Daniel &amp; Olivia Harper</t>
        </is>
      </c>
      <c r="B17" s="4" t="inlineStr">
        <is>
          <t>Joint Non-Reg (Crestview Capital)</t>
        </is>
      </c>
      <c r="C17" s="4" t="inlineStr">
        <is>
          <t>U.S. Equity Index Fund (CAD Hedged)</t>
        </is>
      </c>
      <c r="D17" s="5" t="inlineStr">
        <is>
          <t>Growth</t>
        </is>
      </c>
      <c r="E17" s="6" t="n">
        <v>875</v>
      </c>
      <c r="F17" s="7" t="n">
        <v>15000</v>
      </c>
      <c r="G17" s="7" t="n">
        <v>18156.25</v>
      </c>
    </row>
    <row r="18" ht="18" customHeight="1">
      <c r="A18" s="8" t="inlineStr">
        <is>
          <t>Olivia Harper</t>
        </is>
      </c>
      <c r="B18" s="8" t="inlineStr">
        <is>
          <t>TFSA (Meridian Trust)</t>
        </is>
      </c>
      <c r="C18" s="8" t="inlineStr">
        <is>
          <t>Meridian Short-Duration Bond Trust</t>
        </is>
      </c>
      <c r="D18" s="9" t="inlineStr">
        <is>
          <t>Fixed Income</t>
        </is>
      </c>
      <c r="E18" s="10" t="n">
        <v>2500</v>
      </c>
      <c r="F18" s="11" t="n">
        <v>25000</v>
      </c>
      <c r="G18" s="11" t="n">
        <v>24375</v>
      </c>
    </row>
    <row r="19" ht="18" customHeight="1">
      <c r="A19" s="4" t="inlineStr">
        <is>
          <t>Olivia Harper</t>
        </is>
      </c>
      <c r="B19" s="4" t="inlineStr">
        <is>
          <t>TFSA (Meridian Trust)</t>
        </is>
      </c>
      <c r="C19" s="4" t="inlineStr">
        <is>
          <t>Cash (CAD)</t>
        </is>
      </c>
      <c r="D19" s="5" t="inlineStr">
        <is>
          <t>Cash</t>
        </is>
      </c>
      <c r="E19" s="12" t="inlineStr">
        <is>
          <t>—</t>
        </is>
      </c>
      <c r="F19" s="12" t="inlineStr">
        <is>
          <t>—</t>
        </is>
      </c>
      <c r="G19" s="7" t="n">
        <v>842.3</v>
      </c>
    </row>
    <row r="20" ht="18" customHeight="1">
      <c r="A20" s="14" t="n"/>
      <c r="B20" s="15" t="inlineStr">
        <is>
          <t>Pinnacle Wealth Mgmt Subtotal</t>
        </is>
      </c>
      <c r="C20" s="14" t="n"/>
      <c r="D20" s="14" t="n"/>
      <c r="E20" s="14" t="n"/>
      <c r="F20" s="16">
        <f>SUM(F5:F9)</f>
        <v/>
      </c>
      <c r="G20" s="16">
        <f>SUM(G5:G9)</f>
        <v/>
      </c>
    </row>
    <row r="21" ht="18" customHeight="1">
      <c r="A21" s="14" t="n"/>
      <c r="B21" s="15" t="inlineStr">
        <is>
          <t>Meridian Trust Subtotal</t>
        </is>
      </c>
      <c r="C21" s="14" t="n"/>
      <c r="D21" s="14" t="n"/>
      <c r="E21" s="14" t="n"/>
      <c r="F21" s="16">
        <f>SUM(F10:F14)</f>
        <v/>
      </c>
      <c r="G21" s="16">
        <f>SUM(G10:G14)</f>
        <v/>
      </c>
    </row>
    <row r="22" ht="18" customHeight="1">
      <c r="A22" s="14" t="n"/>
      <c r="B22" s="15" t="inlineStr">
        <is>
          <t>Crestview Capital Subtotal</t>
        </is>
      </c>
      <c r="C22" s="14" t="n"/>
      <c r="D22" s="14" t="n"/>
      <c r="E22" s="14" t="n"/>
      <c r="F22" s="16">
        <f>SUM(F15:F17)</f>
        <v/>
      </c>
      <c r="G22" s="16">
        <f>SUM(G15:G17)</f>
        <v/>
      </c>
    </row>
    <row r="23" ht="18" customHeight="1">
      <c r="A23" s="14" t="n"/>
      <c r="B23" s="15" t="inlineStr">
        <is>
          <t>Meridian Trust – TFSA Subtotal</t>
        </is>
      </c>
      <c r="C23" s="14" t="n"/>
      <c r="D23" s="14" t="n"/>
      <c r="E23" s="14" t="n"/>
      <c r="F23" s="16">
        <f>SUM(F18:F19)</f>
        <v/>
      </c>
      <c r="G23" s="16">
        <f>SUM(G18:G19)</f>
        <v/>
      </c>
    </row>
    <row r="24" ht="22" customHeight="1">
      <c r="A24" s="17" t="n"/>
      <c r="B24" s="18" t="inlineStr">
        <is>
          <t>TOTAL PORTFOLIO VALUE</t>
        </is>
      </c>
      <c r="C24" s="17" t="n"/>
      <c r="D24" s="17" t="n"/>
      <c r="E24" s="17" t="n"/>
      <c r="F24" s="19">
        <f>SUM(F20:F23)</f>
        <v/>
      </c>
      <c r="G24" s="19">
        <f>SUM(G20:G23)</f>
        <v/>
      </c>
    </row>
    <row r="25" ht="18" customHeight="1">
      <c r="A25" s="20" t="n"/>
      <c r="B25" s="21" t="inlineStr">
        <is>
          <t>Unrealized Gain / (Loss)</t>
        </is>
      </c>
      <c r="C25" s="20" t="n"/>
      <c r="D25" s="20" t="n"/>
      <c r="E25" s="20" t="n"/>
      <c r="F25" s="20" t="n"/>
      <c r="G25" s="22">
        <f>G24-F24</f>
        <v/>
      </c>
    </row>
    <row r="27" ht="28" customHeight="1">
      <c r="A27" s="23" t="inlineStr">
        <is>
          <t>* All valuations as at [DATE]. Book values reflect original purchase price. Market values sourced from respective institution statements. Exempt market securities may be illiquid; prices are indicative only. This summary is prepared by Northstar Group for client review purposes.</t>
        </is>
      </c>
    </row>
  </sheetData>
  <mergeCells count="3">
    <mergeCell ref="A27:G27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2026-04-02T05:10:32Z</dcterms:created>
  <dcterms:modified xmlns:dcterms="http://purl.org/dc/terms/" xmlns:xsi="http://www.w3.org/2001/XMLSchema-instance" xsi:type="dcterms:W3CDTF">2026-04-02T05:10:32Z</dcterms:modified>
</cp:coreProperties>
</file>